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EA54CDB3-5737-40E1-A473-7D44AECAA999}" xr6:coauthVersionLast="47" xr6:coauthVersionMax="47" xr10:uidLastSave="{00000000-0000-0000-0000-000000000000}"/>
  <bookViews>
    <workbookView xWindow="-110" yWindow="-110" windowWidth="19420" windowHeight="10420" xr2:uid="{A2FF5B0E-1E9B-44F5-932A-13F7B587ED92}"/>
  </bookViews>
  <sheets>
    <sheet name="Sheet1" sheetId="1" r:id="rId1"/>
  </sheets>
  <calcPr calcId="191029"/>
  <pivotCaches>
    <pivotCache cacheId="87" r:id="rId2"/>
    <pivotCache cacheId="114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6_Sales Orders - Excel_d226df28-c0ac-4421-8750-c6b80598fdbe" name="6_Sales Orders - Excel" connection="Query - 6_Sales Orders - Excel"/>
        </x15:modelTables>
        <x15:extLst>
          <ext xmlns:x16="http://schemas.microsoft.com/office/spreadsheetml/2014/11/main" uri="{9835A34E-60A6-4A7C-AAB8-D5F71C897F49}">
            <x16:modelTimeGroupings>
              <x16:modelTimeGrouping tableName="6_Sales Orders - Excel" columnName="Date" columnId="Date">
                <x16:calculatedTimeColumn columnName="Date (Year)" columnId="Date (Year)" contentType="year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276EDE-68E7-4608-BD56-AC7726747C68}" name="Query - 6_Sales Orders - Excel" description="Connection to the '6_Sales Orders - Excel' query in the workbook." type="100" refreshedVersion="8" minRefreshableVersion="5">
    <extLst>
      <ext xmlns:x15="http://schemas.microsoft.com/office/spreadsheetml/2010/11/main" uri="{DE250136-89BD-433C-8126-D09CA5730AF9}">
        <x15:connection id="d3a171d2-1c6c-474c-9688-f93bc88ca538"/>
      </ext>
    </extLst>
  </connection>
  <connection id="2" xr16:uid="{03650E4D-016A-4D81-B3E3-F903516FBFA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6_Sales Orders - Excel].[Column1].&amp;[TotalDu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<sst xmlns="http://schemas.openxmlformats.org/spreadsheetml/2006/main" count="40" uniqueCount="25">
  <si>
    <t>Column Labels</t>
  </si>
  <si>
    <t>Canada</t>
  </si>
  <si>
    <t>Northwest</t>
  </si>
  <si>
    <t>Grand Total</t>
  </si>
  <si>
    <t>Australia</t>
  </si>
  <si>
    <t>Central</t>
  </si>
  <si>
    <t>France</t>
  </si>
  <si>
    <t>Germany</t>
  </si>
  <si>
    <t>Southwest</t>
  </si>
  <si>
    <t>United Kingdom</t>
  </si>
  <si>
    <t>Row Labels</t>
  </si>
  <si>
    <t># Order Details</t>
  </si>
  <si>
    <t># Orders</t>
  </si>
  <si>
    <t>Freight</t>
  </si>
  <si>
    <t>Qty</t>
  </si>
  <si>
    <t>Subtotal</t>
  </si>
  <si>
    <t>Tax Amount</t>
  </si>
  <si>
    <t>TotalDue</t>
  </si>
  <si>
    <t>Sum of Value</t>
  </si>
  <si>
    <t/>
  </si>
  <si>
    <t>2011</t>
  </si>
  <si>
    <t>2012</t>
  </si>
  <si>
    <t>2013</t>
  </si>
  <si>
    <t>2014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</si>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</sst>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3.xlsx]Sheet1!PivotTable3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Sheet1!$B$13:$B$14</c:f>
              <c:strCache>
                <c:ptCount val="1"/>
                <c:pt idx="0">
                  <c:v>Australia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Sheet1!$B$15:$B$20</c:f>
              <c:numCache>
                <c:formatCode>General</c:formatCode>
                <c:ptCount val="5"/>
                <c:pt idx="3">
                  <c:v>1118499.8899999999</c:v>
                </c:pt>
                <c:pt idx="4">
                  <c:v>683470.33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A3-4686-99C1-CC15D14EB410}"/>
            </c:ext>
          </c:extLst>
        </c:ser>
        <c:ser>
          <c:idx val="1"/>
          <c:order val="1"/>
          <c:tx>
            <c:strRef>
              <c:f>Sheet1!$C$13:$C$14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Sheet1!$C$15:$C$20</c:f>
              <c:numCache>
                <c:formatCode>General</c:formatCode>
                <c:ptCount val="5"/>
                <c:pt idx="0">
                  <c:v>1323328.6299999999</c:v>
                </c:pt>
                <c:pt idx="1">
                  <c:v>1323328.6299999999</c:v>
                </c:pt>
                <c:pt idx="2">
                  <c:v>4427318.58</c:v>
                </c:pt>
                <c:pt idx="3">
                  <c:v>4630339.2699999996</c:v>
                </c:pt>
                <c:pt idx="4">
                  <c:v>1558542.26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A3-4686-99C1-CC15D14EB410}"/>
            </c:ext>
          </c:extLst>
        </c:ser>
        <c:ser>
          <c:idx val="2"/>
          <c:order val="2"/>
          <c:tx>
            <c:strRef>
              <c:f>Sheet1!$D$13:$D$14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Sheet1!$D$15:$D$20</c:f>
              <c:numCache>
                <c:formatCode>General</c:formatCode>
                <c:ptCount val="5"/>
                <c:pt idx="3">
                  <c:v>151.85</c:v>
                </c:pt>
                <c:pt idx="4">
                  <c:v>37974.6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A3-4686-99C1-CC15D14EB410}"/>
            </c:ext>
          </c:extLst>
        </c:ser>
        <c:ser>
          <c:idx val="3"/>
          <c:order val="3"/>
          <c:tx>
            <c:strRef>
              <c:f>Sheet1!$E$13:$E$14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Sheet1!$E$15:$E$20</c:f>
              <c:numCache>
                <c:formatCode>General</c:formatCode>
                <c:ptCount val="5"/>
                <c:pt idx="2">
                  <c:v>1166211.1100000001</c:v>
                </c:pt>
                <c:pt idx="3">
                  <c:v>3054173.83</c:v>
                </c:pt>
                <c:pt idx="4">
                  <c:v>977724.76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A3-4686-99C1-CC15D14EB410}"/>
            </c:ext>
          </c:extLst>
        </c:ser>
        <c:ser>
          <c:idx val="4"/>
          <c:order val="4"/>
          <c:tx>
            <c:strRef>
              <c:f>Sheet1!$F$13:$F$14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Sheet1!$F$15:$F$20</c:f>
              <c:numCache>
                <c:formatCode>General</c:formatCode>
                <c:ptCount val="5"/>
                <c:pt idx="3">
                  <c:v>1563714.33</c:v>
                </c:pt>
                <c:pt idx="4">
                  <c:v>717890.03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4A3-4686-99C1-CC15D14EB410}"/>
            </c:ext>
          </c:extLst>
        </c:ser>
        <c:ser>
          <c:idx val="5"/>
          <c:order val="5"/>
          <c:tx>
            <c:strRef>
              <c:f>Sheet1!$G$13:$G$14</c:f>
              <c:strCache>
                <c:ptCount val="1"/>
                <c:pt idx="0">
                  <c:v>Northwest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Sheet1!$G$15:$G$20</c:f>
              <c:numCache>
                <c:formatCode>General</c:formatCode>
                <c:ptCount val="5"/>
                <c:pt idx="0">
                  <c:v>675663.69</c:v>
                </c:pt>
                <c:pt idx="1">
                  <c:v>675663.69</c:v>
                </c:pt>
                <c:pt idx="2">
                  <c:v>1950868.24</c:v>
                </c:pt>
                <c:pt idx="3">
                  <c:v>2967449.99</c:v>
                </c:pt>
                <c:pt idx="4">
                  <c:v>1346190.53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4A3-4686-99C1-CC15D14EB410}"/>
            </c:ext>
          </c:extLst>
        </c:ser>
        <c:ser>
          <c:idx val="6"/>
          <c:order val="6"/>
          <c:tx>
            <c:strRef>
              <c:f>Sheet1!$H$13:$H$14</c:f>
              <c:strCache>
                <c:ptCount val="1"/>
                <c:pt idx="0">
                  <c:v>Southwest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Sheet1!$H$15:$H$20</c:f>
              <c:numCache>
                <c:formatCode>General</c:formatCode>
                <c:ptCount val="5"/>
                <c:pt idx="3">
                  <c:v>185943.92</c:v>
                </c:pt>
                <c:pt idx="4">
                  <c:v>721895.74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A3-4686-99C1-CC15D14EB410}"/>
            </c:ext>
          </c:extLst>
        </c:ser>
        <c:ser>
          <c:idx val="7"/>
          <c:order val="7"/>
          <c:tx>
            <c:strRef>
              <c:f>Sheet1!$I$13:$I$14</c:f>
              <c:strCache>
                <c:ptCount val="1"/>
                <c:pt idx="0">
                  <c:v>United Kingdom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Sheet1!$A$15:$A$20</c:f>
              <c:strCache>
                <c:ptCount val="5"/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strCache>
            </c:strRef>
          </c:cat>
          <c:val>
            <c:numRef>
              <c:f>Sheet1!$I$15:$I$20</c:f>
              <c:numCache>
                <c:formatCode>General</c:formatCode>
                <c:ptCount val="5"/>
                <c:pt idx="2">
                  <c:v>1126623.03</c:v>
                </c:pt>
                <c:pt idx="3">
                  <c:v>2521488.2000000002</c:v>
                </c:pt>
                <c:pt idx="4">
                  <c:v>1178095.3999999999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4A3-4686-99C1-CC15D14EB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205904"/>
        <c:axId val="1901198704"/>
      </c:lineChart>
      <c:catAx>
        <c:axId val="190120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198704"/>
        <c:crosses val="autoZero"/>
        <c:auto val="1"/>
        <c:lblAlgn val="ctr"/>
        <c:lblOffset val="100"/>
        <c:noMultiLvlLbl val="0"/>
      </c:catAx>
      <c:valAx>
        <c:axId val="19011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20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587375</xdr:colOff>
      <xdr:row>2</xdr:row>
      <xdr:rowOff>133350</xdr:rowOff>
    </xdr:from>
    <xdr:to>
      <xdr:col>18</xdr:col>
      <xdr:colOff>282575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D6407A-F43D-6415-E621-C4C35BE9DD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8.953387847221" backgroundQuery="1" createdVersion="8" refreshedVersion="8" minRefreshableVersion="3" recordCount="0" supportSubquery="1" supportAdvancedDrill="1" xr:uid="{BEF73A46-9F7E-41B6-82D9-F44901613CCE}">
  <cacheSource type="external" connectionId="2"/>
  <cacheFields count="3">
    <cacheField name="[6_Sales Orders - Excel].[Name].[Name]" caption="Name" numFmtId="0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  <cacheField name="[6_Sales Orders - Excel].[Column1].[Column1]" caption="Column1" numFmtId="0" hierarchy="1" level="1">
      <sharedItems count="7">
        <s v="# Order Details"/>
        <s v="# Orders"/>
        <s v="Freight"/>
        <s v="Qty"/>
        <s v="Subtotal"/>
        <s v="Tax Amount"/>
        <s v="TotalDue"/>
      </sharedItems>
    </cacheField>
    <cacheField name="[Measures].[Sum of Value]" caption="Sum of Value" numFmtId="0" hierarchy="10" level="32767"/>
  </cacheFields>
  <cacheHierarchies count="11">
    <cacheHierarchy uniqueName="[6_Sales Orders - Excel].[Name]" caption="Name" attribute="1" defaultMemberUniqueName="[6_Sales Orders - Excel].[Name].[All]" allUniqueName="[6_Sales Orders - Excel].[Name].[All]" dimensionUniqueName="[6_Sales Orders - Excel]" displayFolder="" count="2" memberValueDatatype="130" unbalanced="0">
      <fieldsUsage count="2">
        <fieldUsage x="-1"/>
        <fieldUsage x="0"/>
      </fieldsUsage>
    </cacheHierarchy>
    <cacheHierarchy uniqueName="[6_Sales Orders - Excel].[Column1]" caption="Column1" attribute="1" defaultMemberUniqueName="[6_Sales Orders - Excel].[Column1].[All]" allUniqueName="[6_Sales Orders - Excel].[Column1].[All]" dimensionUniqueName="[6_Sales Orders - Excel]" displayFolder="" count="2" memberValueDatatype="130" unbalanced="0">
      <fieldsUsage count="2">
        <fieldUsage x="-1"/>
        <fieldUsage x="1"/>
      </fieldsUsage>
    </cacheHierarchy>
    <cacheHierarchy uniqueName="[6_Sales Orders - Excel].[Item]" caption="Item" attribute="1" defaultMemberUniqueName="[6_Sales Orders - Excel].[Item].[All]" allUniqueName="[6_Sales Orders - Excel].[Item].[All]" dimensionUniqueName="[6_Sales Orders - Excel]" displayFolder="" count="0" memberValueDatatype="130" unbalanced="0"/>
    <cacheHierarchy uniqueName="[6_Sales Orders - Excel].[Kind]" caption="Kind" attribute="1" defaultMemberUniqueName="[6_Sales Orders - Excel].[Kind].[All]" allUniqueName="[6_Sales Orders - Excel].[Kind].[All]" dimensionUniqueName="[6_Sales Orders - Excel]" displayFolder="" count="0" memberValueDatatype="130" unbalanced="0"/>
    <cacheHierarchy uniqueName="[6_Sales Orders - Excel].[Hidden]" caption="Hidden" attribute="1" defaultMemberUniqueName="[6_Sales Orders - Excel].[Hidden].[All]" allUniqueName="[6_Sales Orders - Excel].[Hidden].[All]" dimensionUniqueName="[6_Sales Orders - Excel]" displayFolder="" count="0" memberValueDatatype="130" unbalanced="0"/>
    <cacheHierarchy uniqueName="[6_Sales Orders - Excel].[Date]" caption="Date" attribute="1" time="1" defaultMemberUniqueName="[6_Sales Orders - Excel].[Date].[All]" allUniqueName="[6_Sales Orders - Excel].[Date].[All]" dimensionUniqueName="[6_Sales Orders - Excel]" displayFolder="" count="0" memberValueDatatype="7" unbalanced="0"/>
    <cacheHierarchy uniqueName="[6_Sales Orders - Excel].[Value]" caption="Value" attribute="1" defaultMemberUniqueName="[6_Sales Orders - Excel].[Value].[All]" allUniqueName="[6_Sales Orders - Excel].[Value].[All]" dimensionUniqueName="[6_Sales Orders - Excel]" displayFolder="" count="0" memberValueDatatype="5" unbalanced="0"/>
    <cacheHierarchy uniqueName="[6_Sales Orders - Excel].[Date (Year)]" caption="Date (Year)" attribute="1" defaultMemberUniqueName="[6_Sales Orders - Excel].[Date (Year)].[All]" allUniqueName="[6_Sales Orders - Excel].[Date (Year)].[All]" dimensionUniqueName="[6_Sales Orders - Excel]" displayFolder="" count="0" memberValueDatatype="130" unbalanced="0"/>
    <cacheHierarchy uniqueName="[Measures].[__XL_Count 6_Sales Orders - Excel]" caption="__XL_Count 6_Sales Orders - Excel" measure="1" displayFolder="" measureGroup="6_Sales Orders - Excel" count="0" hidden="1"/>
    <cacheHierarchy uniqueName="[Measures].[__No measures defined]" caption="__No measures defined" measure="1" displayFolder="" count="0" hidden="1"/>
    <cacheHierarchy uniqueName="[Measures].[Sum of Value]" caption="Sum of Value" measure="1" displayFolder="" measureGroup="6_Sales Orders - Exce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6_Sales Orders - Excel" uniqueName="[6_Sales Orders - Excel]" caption="6_Sales Orders - Excel"/>
    <dimension measure="1" name="Measures" uniqueName="[Measures]" caption="Measures"/>
  </dimensions>
  <measureGroups count="1">
    <measureGroup name="6_Sales Orders - Excel" caption="6_Sales Orders - 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288.962114236114" backgroundQuery="1" createdVersion="8" refreshedVersion="8" minRefreshableVersion="3" recordCount="0" supportSubquery="1" supportAdvancedDrill="1" xr:uid="{C5B1A582-D3F4-45EB-9124-68625F377885}">
  <cacheSource type="external" connectionId="2"/>
  <cacheFields count="5">
    <cacheField name="[6_Sales Orders - Excel].[Date].[Date]" caption="Date" numFmtId="0" hierarchy="5" level="1">
      <sharedItems containsNonDate="0" containsDate="1" containsString="0" containsBlank="1" minDate="2011-05-31T00:00:00" maxDate="2014-05-02T00:00:00" count="41">
        <m/>
        <d v="2011-05-31T00:00:00"/>
        <d v="2011-07-01T00:00:00"/>
        <d v="2011-08-01T00:00:00"/>
        <d v="2011-08-31T00:00:00"/>
        <d v="2011-10-01T00:00:00"/>
        <d v="2011-10-31T00:00:00"/>
        <d v="2011-12-01T00:00:00"/>
        <d v="2012-01-01T00:00:00"/>
        <d v="2012-01-29T00:00:00"/>
        <d v="2012-02-29T00:00:00"/>
        <d v="2012-03-30T00:00:00"/>
        <d v="2012-04-30T00:00:00"/>
        <d v="2012-05-30T00:00:00"/>
        <d v="2012-06-30T00:00:00"/>
        <d v="2012-07-31T00:00:00"/>
        <d v="2012-08-30T00:00:00"/>
        <d v="2012-09-30T00:00:00"/>
        <d v="2012-10-30T00:00:00"/>
        <d v="2012-11-30T00:00:00"/>
        <d v="2012-12-31T00:00:00"/>
        <d v="2013-01-28T00:00:00"/>
        <d v="2013-02-28T00:00:00"/>
        <d v="2013-03-30T00:00:00"/>
        <d v="2013-04-30T00:00:00"/>
        <d v="2013-05-30T00:00:00"/>
        <d v="2013-06-30T00:00:00"/>
        <d v="2013-07-31T00:00:00"/>
        <d v="2013-08-30T00:00:00"/>
        <d v="2013-09-30T00:00:00"/>
        <d v="2013-10-30T00:00:00"/>
        <d v="2013-11-30T00:00:00"/>
        <d v="2013-12-31T00:00:00"/>
        <d v="2014-01-28T00:00:00"/>
        <d v="2014-01-29T00:00:00"/>
        <d v="2014-02-28T00:00:00"/>
        <d v="2014-03-01T00:00:00"/>
        <d v="2014-03-30T00:00:00"/>
        <d v="2014-03-31T00:00:00"/>
        <d v="2014-04-30T00:00:00"/>
        <d v="2014-05-01T00:00:00"/>
      </sharedItems>
    </cacheField>
    <cacheField name="[6_Sales Orders - Excel].[Name].[Name]" caption="Name" numFmtId="0" level="1">
      <sharedItems count="8">
        <s v="Australia"/>
        <s v="Canada"/>
        <s v="Central"/>
        <s v="France"/>
        <s v="Germany"/>
        <s v="Northwest"/>
        <s v="Southwest"/>
        <s v="United Kingdom"/>
      </sharedItems>
    </cacheField>
    <cacheField name="[Measures].[Sum of Value]" caption="Sum of Value" numFmtId="0" hierarchy="10" level="32767"/>
    <cacheField name="[6_Sales Orders - Excel].[Date (Year)].[Date (Year)]" caption="Date (Year)" numFmtId="0" hierarchy="7" level="1">
      <sharedItems count="5">
        <s v=""/>
        <s v="2011"/>
        <s v="2012"/>
        <s v="2013"/>
        <s v="2014"/>
      </sharedItems>
    </cacheField>
    <cacheField name="[6_Sales Orders - Excel].[Column1].[Column1]" caption="Column1" numFmtId="0" hierarchy="1" level="1">
      <sharedItems containsSemiMixedTypes="0" containsNonDate="0" containsString="0"/>
    </cacheField>
  </cacheFields>
  <cacheHierarchies count="11">
    <cacheHierarchy uniqueName="[6_Sales Orders - Excel].[Name]" caption="Name" attribute="1" defaultMemberUniqueName="[6_Sales Orders - Excel].[Name].[All]" allUniqueName="[6_Sales Orders - Excel].[Name].[All]" dimensionUniqueName="[6_Sales Orders - Excel]" displayFolder="" count="2" memberValueDatatype="130" unbalanced="0">
      <fieldsUsage count="2">
        <fieldUsage x="-1"/>
        <fieldUsage x="1"/>
      </fieldsUsage>
    </cacheHierarchy>
    <cacheHierarchy uniqueName="[6_Sales Orders - Excel].[Column1]" caption="Column1" attribute="1" defaultMemberUniqueName="[6_Sales Orders - Excel].[Column1].[All]" allUniqueName="[6_Sales Orders - Excel].[Column1].[All]" dimensionUniqueName="[6_Sales Orders - Excel]" displayFolder="" count="2" memberValueDatatype="130" unbalanced="0">
      <fieldsUsage count="2">
        <fieldUsage x="-1"/>
        <fieldUsage x="4"/>
      </fieldsUsage>
    </cacheHierarchy>
    <cacheHierarchy uniqueName="[6_Sales Orders - Excel].[Item]" caption="Item" attribute="1" defaultMemberUniqueName="[6_Sales Orders - Excel].[Item].[All]" allUniqueName="[6_Sales Orders - Excel].[Item].[All]" dimensionUniqueName="[6_Sales Orders - Excel]" displayFolder="" count="2" memberValueDatatype="130" unbalanced="0"/>
    <cacheHierarchy uniqueName="[6_Sales Orders - Excel].[Kind]" caption="Kind" attribute="1" defaultMemberUniqueName="[6_Sales Orders - Excel].[Kind].[All]" allUniqueName="[6_Sales Orders - Excel].[Kind].[All]" dimensionUniqueName="[6_Sales Orders - Excel]" displayFolder="" count="0" memberValueDatatype="130" unbalanced="0"/>
    <cacheHierarchy uniqueName="[6_Sales Orders - Excel].[Hidden]" caption="Hidden" attribute="1" defaultMemberUniqueName="[6_Sales Orders - Excel].[Hidden].[All]" allUniqueName="[6_Sales Orders - Excel].[Hidden].[All]" dimensionUniqueName="[6_Sales Orders - Excel]" displayFolder="" count="0" memberValueDatatype="130" unbalanced="0"/>
    <cacheHierarchy uniqueName="[6_Sales Orders - Excel].[Date]" caption="Date" attribute="1" time="1" defaultMemberUniqueName="[6_Sales Orders - Excel].[Date].[All]" allUniqueName="[6_Sales Orders - Excel].[Date].[All]" dimensionUniqueName="[6_Sales Orders - Excel]" displayFolder="" count="2" memberValueDatatype="7" unbalanced="0">
      <fieldsUsage count="2">
        <fieldUsage x="-1"/>
        <fieldUsage x="0"/>
      </fieldsUsage>
    </cacheHierarchy>
    <cacheHierarchy uniqueName="[6_Sales Orders - Excel].[Value]" caption="Value" attribute="1" defaultMemberUniqueName="[6_Sales Orders - Excel].[Value].[All]" allUniqueName="[6_Sales Orders - Excel].[Value].[All]" dimensionUniqueName="[6_Sales Orders - Excel]" displayFolder="" count="0" memberValueDatatype="5" unbalanced="0"/>
    <cacheHierarchy uniqueName="[6_Sales Orders - Excel].[Date (Year)]" caption="Date (Year)" attribute="1" defaultMemberUniqueName="[6_Sales Orders - Excel].[Date (Year)].[All]" allUniqueName="[6_Sales Orders - Excel].[Date (Year)].[All]" dimensionUniqueName="[6_Sales Orders - Excel]" displayFolder="" count="2" memberValueDatatype="130" unbalanced="0">
      <fieldsUsage count="2">
        <fieldUsage x="-1"/>
        <fieldUsage x="3"/>
      </fieldsUsage>
    </cacheHierarchy>
    <cacheHierarchy uniqueName="[Measures].[__XL_Count 6_Sales Orders - Excel]" caption="__XL_Count 6_Sales Orders - Excel" measure="1" displayFolder="" measureGroup="6_Sales Orders - Excel" count="0" hidden="1"/>
    <cacheHierarchy uniqueName="[Measures].[__No measures defined]" caption="__No measures defined" measure="1" displayFolder="" count="0" hidden="1"/>
    <cacheHierarchy uniqueName="[Measures].[Sum of Value]" caption="Sum of Value" measure="1" displayFolder="" measureGroup="6_Sales Orders - Exce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name="6_Sales Orders - Excel" uniqueName="[6_Sales Orders - Excel]" caption="6_Sales Orders - Excel"/>
    <dimension measure="1" name="Measures" uniqueName="[Measures]" caption="Measures"/>
  </dimensions>
  <measureGroups count="1">
    <measureGroup name="6_Sales Orders - Excel" caption="6_Sales Orders - Excel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602AB-6111-4E36-9307-CA58C609048C}" name="PivotTable3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3:J20" firstHeaderRow="1" firstDataRow="2" firstDataCol="1" rowPageCount="1" colPageCount="1"/>
  <pivotFields count="5">
    <pivotField axis="axisRow" allDrilled="1" subtotalTop="0" showAll="0" dataSourceSort="1" defaultSubtotal="0" defaultAttributeDrillState="1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Row" allDrilled="1" subtotalTop="0" showAll="0" dataSourceSort="1" defaultSubtotal="0">
      <items count="5">
        <item x="0" e="0"/>
        <item x="1" e="0"/>
        <item x="2" e="0"/>
        <item x="3" e="0"/>
        <item x="4" e="0"/>
      </items>
    </pivotField>
    <pivotField axis="axisPage" allDrilled="1" subtotalTop="0" showAll="0" dataSourceSort="1" defaultSubtotal="0" defaultAttributeDrillState="1"/>
  </pivotFields>
  <rowFields count="2">
    <field x="3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4" hier="1" name="[6_Sales Orders - Excel].[Column1].&amp;[TotalDue]" cap="TotalDue"/>
  </pageFields>
  <dataFields count="1">
    <dataField name="Sum of Value" fld="2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5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6_Sales Orders - 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8AEE51-1BA7-49DC-84CF-F1956041DCCD}" name="PivotTable2" cacheId="8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10" firstHeaderRow="1" firstDataRow="2" firstDataCol="1"/>
  <pivotFields count="3"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Value" fld="2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6_Sales Orders - Exc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38D6C-8F5A-4505-9486-08BDF3117162}">
  <dimension ref="A1:J20"/>
  <sheetViews>
    <sheetView tabSelected="1" workbookViewId="0">
      <selection activeCell="G16" sqref="G16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1.81640625" bestFit="1" customWidth="1"/>
    <col min="4" max="4" width="8.81640625" bestFit="1" customWidth="1"/>
    <col min="5" max="7" width="10.81640625" bestFit="1" customWidth="1"/>
    <col min="8" max="8" width="9.81640625" bestFit="1" customWidth="1"/>
    <col min="9" max="9" width="14.36328125" bestFit="1" customWidth="1"/>
    <col min="10" max="10" width="11.81640625" bestFit="1" customWidth="1"/>
  </cols>
  <sheetData>
    <row r="1" spans="1:10" x14ac:dyDescent="0.35">
      <c r="A1" s="1" t="s">
        <v>18</v>
      </c>
      <c r="B1" s="1" t="s">
        <v>0</v>
      </c>
    </row>
    <row r="2" spans="1:10" x14ac:dyDescent="0.35">
      <c r="A2" s="1" t="s">
        <v>10</v>
      </c>
      <c r="B2" t="s">
        <v>4</v>
      </c>
      <c r="C2" t="s">
        <v>1</v>
      </c>
      <c r="D2" t="s">
        <v>5</v>
      </c>
      <c r="E2" t="s">
        <v>6</v>
      </c>
      <c r="F2" t="s">
        <v>7</v>
      </c>
      <c r="G2" t="s">
        <v>2</v>
      </c>
      <c r="H2" t="s">
        <v>8</v>
      </c>
      <c r="I2" t="s">
        <v>9</v>
      </c>
      <c r="J2" t="s">
        <v>3</v>
      </c>
    </row>
    <row r="3" spans="1:10" x14ac:dyDescent="0.35">
      <c r="A3" s="2" t="s">
        <v>11</v>
      </c>
      <c r="B3" s="3">
        <v>1713</v>
      </c>
      <c r="C3" s="3">
        <v>8714</v>
      </c>
      <c r="D3" s="3">
        <v>31</v>
      </c>
      <c r="E3" s="3">
        <v>3530</v>
      </c>
      <c r="F3" s="3">
        <v>1903</v>
      </c>
      <c r="G3" s="3">
        <v>4458</v>
      </c>
      <c r="H3" s="3">
        <v>658</v>
      </c>
      <c r="I3" s="3">
        <v>3520</v>
      </c>
      <c r="J3" s="3">
        <v>24527</v>
      </c>
    </row>
    <row r="4" spans="1:10" x14ac:dyDescent="0.35">
      <c r="A4" s="2" t="s">
        <v>12</v>
      </c>
      <c r="B4" s="3">
        <v>125</v>
      </c>
      <c r="C4" s="3">
        <v>504</v>
      </c>
      <c r="D4" s="3">
        <v>3</v>
      </c>
      <c r="E4" s="3">
        <v>188</v>
      </c>
      <c r="F4" s="3">
        <v>139</v>
      </c>
      <c r="G4" s="3">
        <v>363</v>
      </c>
      <c r="H4" s="3">
        <v>39</v>
      </c>
      <c r="I4" s="3">
        <v>188</v>
      </c>
      <c r="J4" s="3">
        <v>1549</v>
      </c>
    </row>
    <row r="5" spans="1:10" x14ac:dyDescent="0.35">
      <c r="A5" s="2" t="s">
        <v>13</v>
      </c>
      <c r="B5" s="3">
        <v>49436.85</v>
      </c>
      <c r="C5" s="3">
        <v>356195.26</v>
      </c>
      <c r="D5" s="3">
        <v>1015.04</v>
      </c>
      <c r="E5" s="3">
        <v>140612.34</v>
      </c>
      <c r="F5" s="3">
        <v>62025.97</v>
      </c>
      <c r="G5" s="3">
        <v>205520.17</v>
      </c>
      <c r="H5" s="3">
        <v>24209.55</v>
      </c>
      <c r="I5" s="3">
        <v>130285.18</v>
      </c>
      <c r="J5" s="3">
        <v>969300.36</v>
      </c>
    </row>
    <row r="6" spans="1:10" x14ac:dyDescent="0.35">
      <c r="A6" s="2" t="s">
        <v>14</v>
      </c>
      <c r="B6" s="3">
        <v>4948</v>
      </c>
      <c r="C6" s="3">
        <v>31418</v>
      </c>
      <c r="D6" s="3">
        <v>84</v>
      </c>
      <c r="E6" s="3">
        <v>14348</v>
      </c>
      <c r="F6" s="3">
        <v>7518</v>
      </c>
      <c r="G6" s="3">
        <v>14670</v>
      </c>
      <c r="H6" s="3">
        <v>2179</v>
      </c>
      <c r="I6" s="3">
        <v>13193</v>
      </c>
      <c r="J6" s="3">
        <v>88358</v>
      </c>
    </row>
    <row r="7" spans="1:10" x14ac:dyDescent="0.35">
      <c r="A7" s="2" t="s">
        <v>15</v>
      </c>
      <c r="B7" s="3">
        <v>1594335.36</v>
      </c>
      <c r="C7" s="3">
        <v>11766837.310000001</v>
      </c>
      <c r="D7" s="3">
        <v>33863.279999999999</v>
      </c>
      <c r="E7" s="3">
        <v>4607537.9000000004</v>
      </c>
      <c r="F7" s="3">
        <v>2021095.25</v>
      </c>
      <c r="G7" s="3">
        <v>6752651.4699999997</v>
      </c>
      <c r="H7" s="3">
        <v>806159.54</v>
      </c>
      <c r="I7" s="3">
        <v>4279008.8</v>
      </c>
      <c r="J7" s="3">
        <v>31861488.91</v>
      </c>
    </row>
    <row r="8" spans="1:10" x14ac:dyDescent="0.35">
      <c r="A8" s="2" t="s">
        <v>16</v>
      </c>
      <c r="B8" s="3">
        <v>158197.99</v>
      </c>
      <c r="C8" s="3">
        <v>1139824.8</v>
      </c>
      <c r="D8" s="3">
        <v>3248.12</v>
      </c>
      <c r="E8" s="3">
        <v>449959.46</v>
      </c>
      <c r="F8" s="3">
        <v>198483.13</v>
      </c>
      <c r="G8" s="3">
        <v>657664.55000000005</v>
      </c>
      <c r="H8" s="3">
        <v>77470.539999999994</v>
      </c>
      <c r="I8" s="3">
        <v>416912.62</v>
      </c>
      <c r="J8" s="3">
        <v>3101761.21</v>
      </c>
    </row>
    <row r="9" spans="1:10" x14ac:dyDescent="0.35">
      <c r="A9" s="2" t="s">
        <v>17</v>
      </c>
      <c r="B9" s="3">
        <v>1801970.22</v>
      </c>
      <c r="C9" s="3">
        <v>13262857.369999999</v>
      </c>
      <c r="D9" s="3">
        <v>38126.449999999997</v>
      </c>
      <c r="E9" s="3">
        <v>5198109.7</v>
      </c>
      <c r="F9" s="3">
        <v>2281604.36</v>
      </c>
      <c r="G9" s="3">
        <v>7615836.1399999997</v>
      </c>
      <c r="H9" s="3">
        <v>907839.66</v>
      </c>
      <c r="I9" s="3">
        <v>4826206.63</v>
      </c>
      <c r="J9" s="3">
        <v>35932550.530000001</v>
      </c>
    </row>
    <row r="10" spans="1:10" x14ac:dyDescent="0.35">
      <c r="A10" s="2" t="s">
        <v>3</v>
      </c>
      <c r="B10" s="3">
        <v>3610726.42</v>
      </c>
      <c r="C10" s="3">
        <v>26566350.739999998</v>
      </c>
      <c r="D10" s="3">
        <v>76370.89</v>
      </c>
      <c r="E10" s="3">
        <v>10414285.4</v>
      </c>
      <c r="F10" s="3">
        <v>4572768.71</v>
      </c>
      <c r="G10" s="3">
        <v>15251163.33</v>
      </c>
      <c r="H10" s="3">
        <v>1818555.29</v>
      </c>
      <c r="I10" s="3">
        <v>9669314.2300000004</v>
      </c>
      <c r="J10" s="3">
        <v>71979535.010000005</v>
      </c>
    </row>
    <row r="11" spans="1:10" x14ac:dyDescent="0.35">
      <c r="A11" s="1" t="s">
        <v>24</v>
      </c>
      <c r="B11" t="s" vm="1">
        <v>17</v>
      </c>
    </row>
    <row r="13" spans="1:10" x14ac:dyDescent="0.35">
      <c r="A13" s="1" t="s">
        <v>18</v>
      </c>
      <c r="B13" s="1" t="s">
        <v>0</v>
      </c>
    </row>
    <row r="14" spans="1:10" x14ac:dyDescent="0.35">
      <c r="A14" s="1" t="s">
        <v>10</v>
      </c>
      <c r="B14" t="s">
        <v>4</v>
      </c>
      <c r="C14" t="s">
        <v>1</v>
      </c>
      <c r="D14" t="s">
        <v>5</v>
      </c>
      <c r="E14" t="s">
        <v>6</v>
      </c>
      <c r="F14" t="s">
        <v>7</v>
      </c>
      <c r="G14" t="s">
        <v>2</v>
      </c>
      <c r="H14" t="s">
        <v>8</v>
      </c>
      <c r="I14" t="s">
        <v>9</v>
      </c>
      <c r="J14" t="s">
        <v>3</v>
      </c>
    </row>
    <row r="15" spans="1:10" x14ac:dyDescent="0.35">
      <c r="A15" s="2" t="s">
        <v>19</v>
      </c>
      <c r="B15" s="3"/>
      <c r="C15" s="3">
        <v>1323328.6299999999</v>
      </c>
      <c r="D15" s="3"/>
      <c r="E15" s="3"/>
      <c r="F15" s="3"/>
      <c r="G15" s="3">
        <v>675663.69</v>
      </c>
      <c r="H15" s="3"/>
      <c r="I15" s="3"/>
      <c r="J15" s="3">
        <v>1998992.32</v>
      </c>
    </row>
    <row r="16" spans="1:10" x14ac:dyDescent="0.35">
      <c r="A16" s="2" t="s">
        <v>20</v>
      </c>
      <c r="B16" s="3"/>
      <c r="C16" s="3">
        <v>1323328.6299999999</v>
      </c>
      <c r="D16" s="3"/>
      <c r="E16" s="3"/>
      <c r="F16" s="3"/>
      <c r="G16" s="3">
        <v>675663.69</v>
      </c>
      <c r="H16" s="3"/>
      <c r="I16" s="3"/>
      <c r="J16" s="3">
        <v>1998992.32</v>
      </c>
    </row>
    <row r="17" spans="1:10" x14ac:dyDescent="0.35">
      <c r="A17" s="2" t="s">
        <v>21</v>
      </c>
      <c r="B17" s="3"/>
      <c r="C17" s="3">
        <v>4427318.58</v>
      </c>
      <c r="D17" s="3"/>
      <c r="E17" s="3">
        <v>1166211.1100000001</v>
      </c>
      <c r="F17" s="3"/>
      <c r="G17" s="3">
        <v>1950868.24</v>
      </c>
      <c r="H17" s="3"/>
      <c r="I17" s="3">
        <v>1126623.03</v>
      </c>
      <c r="J17" s="3">
        <v>8671020.9600000009</v>
      </c>
    </row>
    <row r="18" spans="1:10" x14ac:dyDescent="0.35">
      <c r="A18" s="2" t="s">
        <v>22</v>
      </c>
      <c r="B18" s="3">
        <v>1118499.8899999999</v>
      </c>
      <c r="C18" s="3">
        <v>4630339.2699999996</v>
      </c>
      <c r="D18" s="3">
        <v>151.85</v>
      </c>
      <c r="E18" s="3">
        <v>3054173.83</v>
      </c>
      <c r="F18" s="3">
        <v>1563714.33</v>
      </c>
      <c r="G18" s="3">
        <v>2967449.99</v>
      </c>
      <c r="H18" s="3">
        <v>185943.92</v>
      </c>
      <c r="I18" s="3">
        <v>2521488.2000000002</v>
      </c>
      <c r="J18" s="3">
        <v>16041761.279999999</v>
      </c>
    </row>
    <row r="19" spans="1:10" x14ac:dyDescent="0.35">
      <c r="A19" s="2" t="s">
        <v>23</v>
      </c>
      <c r="B19" s="3">
        <v>683470.33</v>
      </c>
      <c r="C19" s="3">
        <v>1558542.26</v>
      </c>
      <c r="D19" s="3">
        <v>37974.6</v>
      </c>
      <c r="E19" s="3">
        <v>977724.76</v>
      </c>
      <c r="F19" s="3">
        <v>717890.03</v>
      </c>
      <c r="G19" s="3">
        <v>1346190.53</v>
      </c>
      <c r="H19" s="3">
        <v>721895.74</v>
      </c>
      <c r="I19" s="3">
        <v>1178095.3999999999</v>
      </c>
      <c r="J19" s="3">
        <v>7221783.6500000004</v>
      </c>
    </row>
    <row r="20" spans="1:10" x14ac:dyDescent="0.35">
      <c r="A20" s="2" t="s">
        <v>3</v>
      </c>
      <c r="B20" s="3">
        <v>1801970.22</v>
      </c>
      <c r="C20" s="3">
        <v>13262857.369999999</v>
      </c>
      <c r="D20" s="3">
        <v>38126.449999999997</v>
      </c>
      <c r="E20" s="3">
        <v>5198109.7</v>
      </c>
      <c r="F20" s="3">
        <v>2281604.36</v>
      </c>
      <c r="G20" s="3">
        <v>7615836.1399999997</v>
      </c>
      <c r="H20" s="3">
        <v>907839.66</v>
      </c>
      <c r="I20" s="3">
        <v>4826206.63</v>
      </c>
      <c r="J20" s="3">
        <v>35932550.530000001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BEB5B-E3E9-4111-B585-66D32E995F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mirnaahmed2005@gmail.com</dc:creator>
  <cp:lastModifiedBy>mirnaahmed2005@gmail.com</cp:lastModifiedBy>
  <dcterms:created xsi:type="dcterms:W3CDTF">2026-09-23T19:26:47Z</dcterms:created>
  <dcterms:modified xsi:type="dcterms:W3CDTF">2026-09-23T20:10:36Z</dcterms:modified>
</cp:coreProperties>
</file>